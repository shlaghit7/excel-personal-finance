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'KPI'!$A$1:$A$3</f>
            </numRef>
          </cat>
          <val>
            <numRef>
              <f>'KPI'!$B$1:$B$3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Category</t>
        </is>
      </c>
      <c r="D1" t="inlineStr">
        <is>
          <t>Type</t>
        </is>
      </c>
      <c r="E1" t="inlineStr">
        <is>
          <t>Amount</t>
        </is>
      </c>
    </row>
    <row r="2">
      <c r="A2" s="1" t="n">
        <v>45658</v>
      </c>
      <c r="B2" t="inlineStr">
        <is>
          <t>Jan</t>
        </is>
      </c>
      <c r="C2" t="inlineStr">
        <is>
          <t>Salary</t>
        </is>
      </c>
      <c r="D2" t="inlineStr">
        <is>
          <t>Income</t>
        </is>
      </c>
      <c r="E2" t="n">
        <v>28197</v>
      </c>
    </row>
    <row r="3">
      <c r="A3" s="1" t="n">
        <v>45659</v>
      </c>
      <c r="B3" t="inlineStr">
        <is>
          <t>Jan</t>
        </is>
      </c>
      <c r="C3" t="inlineStr">
        <is>
          <t>Entertainment</t>
        </is>
      </c>
      <c r="D3" t="inlineStr">
        <is>
          <t>Expense</t>
        </is>
      </c>
      <c r="E3" t="n">
        <v>943</v>
      </c>
    </row>
    <row r="4">
      <c r="A4" s="1" t="n">
        <v>45660</v>
      </c>
      <c r="B4" t="inlineStr">
        <is>
          <t>Jan</t>
        </is>
      </c>
      <c r="C4" t="inlineStr">
        <is>
          <t>Rent</t>
        </is>
      </c>
      <c r="D4" t="inlineStr">
        <is>
          <t>Expense</t>
        </is>
      </c>
      <c r="E4" t="n">
        <v>3113</v>
      </c>
    </row>
    <row r="5">
      <c r="A5" s="1" t="n">
        <v>45661</v>
      </c>
      <c r="B5" t="inlineStr">
        <is>
          <t>Jan</t>
        </is>
      </c>
      <c r="C5" t="inlineStr">
        <is>
          <t>Salary</t>
        </is>
      </c>
      <c r="D5" t="inlineStr">
        <is>
          <t>Income</t>
        </is>
      </c>
      <c r="E5" t="n">
        <v>42460</v>
      </c>
    </row>
    <row r="6">
      <c r="A6" s="1" t="n">
        <v>45662</v>
      </c>
      <c r="B6" t="inlineStr">
        <is>
          <t>Jan</t>
        </is>
      </c>
      <c r="C6" t="inlineStr">
        <is>
          <t>Entertainment</t>
        </is>
      </c>
      <c r="D6" t="inlineStr">
        <is>
          <t>Expense</t>
        </is>
      </c>
      <c r="E6" t="n">
        <v>1016</v>
      </c>
    </row>
    <row r="7">
      <c r="A7" s="1" t="n">
        <v>45663</v>
      </c>
      <c r="B7" t="inlineStr">
        <is>
          <t>Jan</t>
        </is>
      </c>
      <c r="C7" t="inlineStr">
        <is>
          <t>Shopping</t>
        </is>
      </c>
      <c r="D7" t="inlineStr">
        <is>
          <t>Expense</t>
        </is>
      </c>
      <c r="E7" t="n">
        <v>4457</v>
      </c>
    </row>
    <row r="8">
      <c r="A8" s="1" t="n">
        <v>45664</v>
      </c>
      <c r="B8" t="inlineStr">
        <is>
          <t>Jan</t>
        </is>
      </c>
      <c r="C8" t="inlineStr">
        <is>
          <t>Travel</t>
        </is>
      </c>
      <c r="D8" t="inlineStr">
        <is>
          <t>Expense</t>
        </is>
      </c>
      <c r="E8" t="n">
        <v>4581</v>
      </c>
    </row>
    <row r="9">
      <c r="A9" s="1" t="n">
        <v>45665</v>
      </c>
      <c r="B9" t="inlineStr">
        <is>
          <t>Jan</t>
        </is>
      </c>
      <c r="C9" t="inlineStr">
        <is>
          <t>Shopping</t>
        </is>
      </c>
      <c r="D9" t="inlineStr">
        <is>
          <t>Expense</t>
        </is>
      </c>
      <c r="E9" t="n">
        <v>4021</v>
      </c>
    </row>
    <row r="10">
      <c r="A10" s="1" t="n">
        <v>45666</v>
      </c>
      <c r="B10" t="inlineStr">
        <is>
          <t>Jan</t>
        </is>
      </c>
      <c r="C10" t="inlineStr">
        <is>
          <t>Food</t>
        </is>
      </c>
      <c r="D10" t="inlineStr">
        <is>
          <t>Expense</t>
        </is>
      </c>
      <c r="E10" t="n">
        <v>1726</v>
      </c>
    </row>
    <row r="11">
      <c r="A11" s="1" t="n">
        <v>45667</v>
      </c>
      <c r="B11" t="inlineStr">
        <is>
          <t>Jan</t>
        </is>
      </c>
      <c r="C11" t="inlineStr">
        <is>
          <t>Salary</t>
        </is>
      </c>
      <c r="D11" t="inlineStr">
        <is>
          <t>Income</t>
        </is>
      </c>
      <c r="E11" t="n">
        <v>48514</v>
      </c>
    </row>
    <row r="12">
      <c r="A12" s="1" t="n">
        <v>45668</v>
      </c>
      <c r="B12" t="inlineStr">
        <is>
          <t>Jan</t>
        </is>
      </c>
      <c r="C12" t="inlineStr">
        <is>
          <t>Shopping</t>
        </is>
      </c>
      <c r="D12" t="inlineStr">
        <is>
          <t>Expense</t>
        </is>
      </c>
      <c r="E12" t="n">
        <v>4311</v>
      </c>
    </row>
    <row r="13">
      <c r="A13" s="1" t="n">
        <v>45669</v>
      </c>
      <c r="B13" t="inlineStr">
        <is>
          <t>Jan</t>
        </is>
      </c>
      <c r="C13" t="inlineStr">
        <is>
          <t>Travel</t>
        </is>
      </c>
      <c r="D13" t="inlineStr">
        <is>
          <t>Expense</t>
        </is>
      </c>
      <c r="E13" t="n">
        <v>4505</v>
      </c>
    </row>
    <row r="14">
      <c r="A14" s="1" t="n">
        <v>45670</v>
      </c>
      <c r="B14" t="inlineStr">
        <is>
          <t>Jan</t>
        </is>
      </c>
      <c r="C14" t="inlineStr">
        <is>
          <t>EMI</t>
        </is>
      </c>
      <c r="D14" t="inlineStr">
        <is>
          <t>Expense</t>
        </is>
      </c>
      <c r="E14" t="n">
        <v>3230</v>
      </c>
    </row>
    <row r="15">
      <c r="A15" s="1" t="n">
        <v>45671</v>
      </c>
      <c r="B15" t="inlineStr">
        <is>
          <t>Jan</t>
        </is>
      </c>
      <c r="C15" t="inlineStr">
        <is>
          <t>Entertainment</t>
        </is>
      </c>
      <c r="D15" t="inlineStr">
        <is>
          <t>Expense</t>
        </is>
      </c>
      <c r="E15" t="n">
        <v>440</v>
      </c>
    </row>
    <row r="16">
      <c r="A16" s="1" t="n">
        <v>45672</v>
      </c>
      <c r="B16" t="inlineStr">
        <is>
          <t>Jan</t>
        </is>
      </c>
      <c r="C16" t="inlineStr">
        <is>
          <t>EMI</t>
        </is>
      </c>
      <c r="D16" t="inlineStr">
        <is>
          <t>Expense</t>
        </is>
      </c>
      <c r="E16" t="n">
        <v>883</v>
      </c>
    </row>
    <row r="17">
      <c r="A17" s="1" t="n">
        <v>45673</v>
      </c>
      <c r="B17" t="inlineStr">
        <is>
          <t>Jan</t>
        </is>
      </c>
      <c r="C17" t="inlineStr">
        <is>
          <t>Food</t>
        </is>
      </c>
      <c r="D17" t="inlineStr">
        <is>
          <t>Expense</t>
        </is>
      </c>
      <c r="E17" t="n">
        <v>1840</v>
      </c>
    </row>
    <row r="18">
      <c r="A18" s="1" t="n">
        <v>45674</v>
      </c>
      <c r="B18" t="inlineStr">
        <is>
          <t>Jan</t>
        </is>
      </c>
      <c r="C18" t="inlineStr">
        <is>
          <t>Shopping</t>
        </is>
      </c>
      <c r="D18" t="inlineStr">
        <is>
          <t>Expense</t>
        </is>
      </c>
      <c r="E18" t="n">
        <v>3542</v>
      </c>
    </row>
    <row r="19">
      <c r="A19" s="1" t="n">
        <v>45675</v>
      </c>
      <c r="B19" t="inlineStr">
        <is>
          <t>Jan</t>
        </is>
      </c>
      <c r="C19" t="inlineStr">
        <is>
          <t>Entertainment</t>
        </is>
      </c>
      <c r="D19" t="inlineStr">
        <is>
          <t>Expense</t>
        </is>
      </c>
      <c r="E19" t="n">
        <v>4499</v>
      </c>
    </row>
    <row r="20">
      <c r="A20" s="1" t="n">
        <v>45676</v>
      </c>
      <c r="B20" t="inlineStr">
        <is>
          <t>Jan</t>
        </is>
      </c>
      <c r="C20" t="inlineStr">
        <is>
          <t>Shopping</t>
        </is>
      </c>
      <c r="D20" t="inlineStr">
        <is>
          <t>Expense</t>
        </is>
      </c>
      <c r="E20" t="n">
        <v>1917</v>
      </c>
    </row>
    <row r="21">
      <c r="A21" s="1" t="n">
        <v>45677</v>
      </c>
      <c r="B21" t="inlineStr">
        <is>
          <t>Jan</t>
        </is>
      </c>
      <c r="C21" t="inlineStr">
        <is>
          <t>Rent</t>
        </is>
      </c>
      <c r="D21" t="inlineStr">
        <is>
          <t>Expense</t>
        </is>
      </c>
      <c r="E21" t="n">
        <v>3360</v>
      </c>
    </row>
    <row r="22">
      <c r="A22" s="1" t="n">
        <v>45678</v>
      </c>
      <c r="B22" t="inlineStr">
        <is>
          <t>Jan</t>
        </is>
      </c>
      <c r="C22" t="inlineStr">
        <is>
          <t>Rent</t>
        </is>
      </c>
      <c r="D22" t="inlineStr">
        <is>
          <t>Expense</t>
        </is>
      </c>
      <c r="E22" t="n">
        <v>245</v>
      </c>
    </row>
    <row r="23">
      <c r="A23" s="1" t="n">
        <v>45679</v>
      </c>
      <c r="B23" t="inlineStr">
        <is>
          <t>Jan</t>
        </is>
      </c>
      <c r="C23" t="inlineStr">
        <is>
          <t>Shopping</t>
        </is>
      </c>
      <c r="D23" t="inlineStr">
        <is>
          <t>Expense</t>
        </is>
      </c>
      <c r="E23" t="n">
        <v>2595</v>
      </c>
    </row>
    <row r="24">
      <c r="A24" s="1" t="n">
        <v>45680</v>
      </c>
      <c r="B24" t="inlineStr">
        <is>
          <t>Jan</t>
        </is>
      </c>
      <c r="C24" t="inlineStr">
        <is>
          <t>Food</t>
        </is>
      </c>
      <c r="D24" t="inlineStr">
        <is>
          <t>Expense</t>
        </is>
      </c>
      <c r="E24" t="n">
        <v>4413</v>
      </c>
    </row>
    <row r="25">
      <c r="A25" s="1" t="n">
        <v>45681</v>
      </c>
      <c r="B25" t="inlineStr">
        <is>
          <t>Jan</t>
        </is>
      </c>
      <c r="C25" t="inlineStr">
        <is>
          <t>Shopping</t>
        </is>
      </c>
      <c r="D25" t="inlineStr">
        <is>
          <t>Expense</t>
        </is>
      </c>
      <c r="E25" t="n">
        <v>2489</v>
      </c>
    </row>
    <row r="26">
      <c r="A26" s="1" t="n">
        <v>45682</v>
      </c>
      <c r="B26" t="inlineStr">
        <is>
          <t>Jan</t>
        </is>
      </c>
      <c r="C26" t="inlineStr">
        <is>
          <t>Shopping</t>
        </is>
      </c>
      <c r="D26" t="inlineStr">
        <is>
          <t>Expense</t>
        </is>
      </c>
      <c r="E26" t="n">
        <v>4146</v>
      </c>
    </row>
    <row r="27">
      <c r="A27" s="1" t="n">
        <v>45683</v>
      </c>
      <c r="B27" t="inlineStr">
        <is>
          <t>Jan</t>
        </is>
      </c>
      <c r="C27" t="inlineStr">
        <is>
          <t>Rent</t>
        </is>
      </c>
      <c r="D27" t="inlineStr">
        <is>
          <t>Expense</t>
        </is>
      </c>
      <c r="E27" t="n">
        <v>2191</v>
      </c>
    </row>
    <row r="28">
      <c r="A28" s="1" t="n">
        <v>45684</v>
      </c>
      <c r="B28" t="inlineStr">
        <is>
          <t>Jan</t>
        </is>
      </c>
      <c r="C28" t="inlineStr">
        <is>
          <t>Travel</t>
        </is>
      </c>
      <c r="D28" t="inlineStr">
        <is>
          <t>Expense</t>
        </is>
      </c>
      <c r="E28" t="n">
        <v>4265</v>
      </c>
    </row>
    <row r="29">
      <c r="A29" s="1" t="n">
        <v>45685</v>
      </c>
      <c r="B29" t="inlineStr">
        <is>
          <t>Jan</t>
        </is>
      </c>
      <c r="C29" t="inlineStr">
        <is>
          <t>Salary</t>
        </is>
      </c>
      <c r="D29" t="inlineStr">
        <is>
          <t>Income</t>
        </is>
      </c>
      <c r="E29" t="n">
        <v>35346</v>
      </c>
    </row>
    <row r="30">
      <c r="A30" s="1" t="n">
        <v>45686</v>
      </c>
      <c r="B30" t="inlineStr">
        <is>
          <t>Jan</t>
        </is>
      </c>
      <c r="C30" t="inlineStr">
        <is>
          <t>Entertainment</t>
        </is>
      </c>
      <c r="D30" t="inlineStr">
        <is>
          <t>Expense</t>
        </is>
      </c>
      <c r="E30" t="n">
        <v>698</v>
      </c>
    </row>
    <row r="31">
      <c r="A31" s="1" t="n">
        <v>45687</v>
      </c>
      <c r="B31" t="inlineStr">
        <is>
          <t>Jan</t>
        </is>
      </c>
      <c r="C31" t="inlineStr">
        <is>
          <t>Salary</t>
        </is>
      </c>
      <c r="D31" t="inlineStr">
        <is>
          <t>Income</t>
        </is>
      </c>
      <c r="E31" t="n">
        <v>21890</v>
      </c>
    </row>
    <row r="32">
      <c r="A32" s="1" t="n">
        <v>45688</v>
      </c>
      <c r="B32" t="inlineStr">
        <is>
          <t>Jan</t>
        </is>
      </c>
      <c r="C32" t="inlineStr">
        <is>
          <t>Food</t>
        </is>
      </c>
      <c r="D32" t="inlineStr">
        <is>
          <t>Expense</t>
        </is>
      </c>
      <c r="E32" t="n">
        <v>3759</v>
      </c>
    </row>
    <row r="33">
      <c r="A33" s="1" t="n">
        <v>45689</v>
      </c>
      <c r="B33" t="inlineStr">
        <is>
          <t>Feb</t>
        </is>
      </c>
      <c r="C33" t="inlineStr">
        <is>
          <t>Travel</t>
        </is>
      </c>
      <c r="D33" t="inlineStr">
        <is>
          <t>Expense</t>
        </is>
      </c>
      <c r="E33" t="n">
        <v>4356</v>
      </c>
    </row>
    <row r="34">
      <c r="A34" s="1" t="n">
        <v>45690</v>
      </c>
      <c r="B34" t="inlineStr">
        <is>
          <t>Feb</t>
        </is>
      </c>
      <c r="C34" t="inlineStr">
        <is>
          <t>Entertainment</t>
        </is>
      </c>
      <c r="D34" t="inlineStr">
        <is>
          <t>Expense</t>
        </is>
      </c>
      <c r="E34" t="n">
        <v>1212</v>
      </c>
    </row>
    <row r="35">
      <c r="A35" s="1" t="n">
        <v>45691</v>
      </c>
      <c r="B35" t="inlineStr">
        <is>
          <t>Feb</t>
        </is>
      </c>
      <c r="C35" t="inlineStr">
        <is>
          <t>Food</t>
        </is>
      </c>
      <c r="D35" t="inlineStr">
        <is>
          <t>Expense</t>
        </is>
      </c>
      <c r="E35" t="n">
        <v>1487</v>
      </c>
    </row>
    <row r="36">
      <c r="A36" s="1" t="n">
        <v>45692</v>
      </c>
      <c r="B36" t="inlineStr">
        <is>
          <t>Feb</t>
        </is>
      </c>
      <c r="C36" t="inlineStr">
        <is>
          <t>Travel</t>
        </is>
      </c>
      <c r="D36" t="inlineStr">
        <is>
          <t>Expense</t>
        </is>
      </c>
      <c r="E36" t="n">
        <v>1936</v>
      </c>
    </row>
    <row r="37">
      <c r="A37" s="1" t="n">
        <v>45693</v>
      </c>
      <c r="B37" t="inlineStr">
        <is>
          <t>Feb</t>
        </is>
      </c>
      <c r="C37" t="inlineStr">
        <is>
          <t>Rent</t>
        </is>
      </c>
      <c r="D37" t="inlineStr">
        <is>
          <t>Expense</t>
        </is>
      </c>
      <c r="E37" t="n">
        <v>1073</v>
      </c>
    </row>
    <row r="38">
      <c r="A38" s="1" t="n">
        <v>45694</v>
      </c>
      <c r="B38" t="inlineStr">
        <is>
          <t>Feb</t>
        </is>
      </c>
      <c r="C38" t="inlineStr">
        <is>
          <t>EMI</t>
        </is>
      </c>
      <c r="D38" t="inlineStr">
        <is>
          <t>Expense</t>
        </is>
      </c>
      <c r="E38" t="n">
        <v>4973</v>
      </c>
    </row>
    <row r="39">
      <c r="A39" s="1" t="n">
        <v>45695</v>
      </c>
      <c r="B39" t="inlineStr">
        <is>
          <t>Feb</t>
        </is>
      </c>
      <c r="C39" t="inlineStr">
        <is>
          <t>Food</t>
        </is>
      </c>
      <c r="D39" t="inlineStr">
        <is>
          <t>Expense</t>
        </is>
      </c>
      <c r="E39" t="n">
        <v>967</v>
      </c>
    </row>
    <row r="40">
      <c r="A40" s="1" t="n">
        <v>45696</v>
      </c>
      <c r="B40" t="inlineStr">
        <is>
          <t>Feb</t>
        </is>
      </c>
      <c r="C40" t="inlineStr">
        <is>
          <t>Travel</t>
        </is>
      </c>
      <c r="D40" t="inlineStr">
        <is>
          <t>Expense</t>
        </is>
      </c>
      <c r="E40" t="n">
        <v>4105</v>
      </c>
    </row>
    <row r="41">
      <c r="A41" s="1" t="n">
        <v>45697</v>
      </c>
      <c r="B41" t="inlineStr">
        <is>
          <t>Feb</t>
        </is>
      </c>
      <c r="C41" t="inlineStr">
        <is>
          <t>EMI</t>
        </is>
      </c>
      <c r="D41" t="inlineStr">
        <is>
          <t>Expense</t>
        </is>
      </c>
      <c r="E41" t="n">
        <v>4765</v>
      </c>
    </row>
    <row r="42">
      <c r="A42" s="1" t="n">
        <v>45698</v>
      </c>
      <c r="B42" t="inlineStr">
        <is>
          <t>Feb</t>
        </is>
      </c>
      <c r="C42" t="inlineStr">
        <is>
          <t>Rent</t>
        </is>
      </c>
      <c r="D42" t="inlineStr">
        <is>
          <t>Expense</t>
        </is>
      </c>
      <c r="E42" t="n">
        <v>1237</v>
      </c>
    </row>
    <row r="43">
      <c r="A43" s="1" t="n">
        <v>45699</v>
      </c>
      <c r="B43" t="inlineStr">
        <is>
          <t>Feb</t>
        </is>
      </c>
      <c r="C43" t="inlineStr">
        <is>
          <t>Shopping</t>
        </is>
      </c>
      <c r="D43" t="inlineStr">
        <is>
          <t>Expense</t>
        </is>
      </c>
      <c r="E43" t="n">
        <v>2615</v>
      </c>
    </row>
    <row r="44">
      <c r="A44" s="1" t="n">
        <v>45700</v>
      </c>
      <c r="B44" t="inlineStr">
        <is>
          <t>Feb</t>
        </is>
      </c>
      <c r="C44" t="inlineStr">
        <is>
          <t>Salary</t>
        </is>
      </c>
      <c r="D44" t="inlineStr">
        <is>
          <t>Income</t>
        </is>
      </c>
      <c r="E44" t="n">
        <v>43248</v>
      </c>
    </row>
    <row r="45">
      <c r="A45" s="1" t="n">
        <v>45701</v>
      </c>
      <c r="B45" t="inlineStr">
        <is>
          <t>Feb</t>
        </is>
      </c>
      <c r="C45" t="inlineStr">
        <is>
          <t>Travel</t>
        </is>
      </c>
      <c r="D45" t="inlineStr">
        <is>
          <t>Expense</t>
        </is>
      </c>
      <c r="E45" t="n">
        <v>2251</v>
      </c>
    </row>
    <row r="46">
      <c r="A46" s="1" t="n">
        <v>45702</v>
      </c>
      <c r="B46" t="inlineStr">
        <is>
          <t>Feb</t>
        </is>
      </c>
      <c r="C46" t="inlineStr">
        <is>
          <t>Travel</t>
        </is>
      </c>
      <c r="D46" t="inlineStr">
        <is>
          <t>Expense</t>
        </is>
      </c>
      <c r="E46" t="n">
        <v>1311</v>
      </c>
    </row>
    <row r="47">
      <c r="A47" s="1" t="n">
        <v>45703</v>
      </c>
      <c r="B47" t="inlineStr">
        <is>
          <t>Feb</t>
        </is>
      </c>
      <c r="C47" t="inlineStr">
        <is>
          <t>Shopping</t>
        </is>
      </c>
      <c r="D47" t="inlineStr">
        <is>
          <t>Expense</t>
        </is>
      </c>
      <c r="E47" t="n">
        <v>4424</v>
      </c>
    </row>
    <row r="48">
      <c r="A48" s="1" t="n">
        <v>45704</v>
      </c>
      <c r="B48" t="inlineStr">
        <is>
          <t>Feb</t>
        </is>
      </c>
      <c r="C48" t="inlineStr">
        <is>
          <t>Rent</t>
        </is>
      </c>
      <c r="D48" t="inlineStr">
        <is>
          <t>Expense</t>
        </is>
      </c>
      <c r="E48" t="n">
        <v>1661</v>
      </c>
    </row>
    <row r="49">
      <c r="A49" s="1" t="n">
        <v>45705</v>
      </c>
      <c r="B49" t="inlineStr">
        <is>
          <t>Feb</t>
        </is>
      </c>
      <c r="C49" t="inlineStr">
        <is>
          <t>Salary</t>
        </is>
      </c>
      <c r="D49" t="inlineStr">
        <is>
          <t>Income</t>
        </is>
      </c>
      <c r="E49" t="n">
        <v>20684</v>
      </c>
    </row>
    <row r="50">
      <c r="A50" s="1" t="n">
        <v>45706</v>
      </c>
      <c r="B50" t="inlineStr">
        <is>
          <t>Feb</t>
        </is>
      </c>
      <c r="C50" t="inlineStr">
        <is>
          <t>Salary</t>
        </is>
      </c>
      <c r="D50" t="inlineStr">
        <is>
          <t>Income</t>
        </is>
      </c>
      <c r="E50" t="n">
        <v>50246</v>
      </c>
    </row>
    <row r="51">
      <c r="A51" s="1" t="n">
        <v>45707</v>
      </c>
      <c r="B51" t="inlineStr">
        <is>
          <t>Feb</t>
        </is>
      </c>
      <c r="C51" t="inlineStr">
        <is>
          <t>Food</t>
        </is>
      </c>
      <c r="D51" t="inlineStr">
        <is>
          <t>Expense</t>
        </is>
      </c>
      <c r="E51" t="n">
        <v>1392</v>
      </c>
    </row>
    <row r="52">
      <c r="A52" s="1" t="n">
        <v>45708</v>
      </c>
      <c r="B52" t="inlineStr">
        <is>
          <t>Feb</t>
        </is>
      </c>
      <c r="C52" t="inlineStr">
        <is>
          <t>Salary</t>
        </is>
      </c>
      <c r="D52" t="inlineStr">
        <is>
          <t>Income</t>
        </is>
      </c>
      <c r="E52" t="n">
        <v>47142</v>
      </c>
    </row>
    <row r="53">
      <c r="A53" s="1" t="n">
        <v>45709</v>
      </c>
      <c r="B53" t="inlineStr">
        <is>
          <t>Feb</t>
        </is>
      </c>
      <c r="C53" t="inlineStr">
        <is>
          <t>Shopping</t>
        </is>
      </c>
      <c r="D53" t="inlineStr">
        <is>
          <t>Expense</t>
        </is>
      </c>
      <c r="E53" t="n">
        <v>3822</v>
      </c>
    </row>
    <row r="54">
      <c r="A54" s="1" t="n">
        <v>45710</v>
      </c>
      <c r="B54" t="inlineStr">
        <is>
          <t>Feb</t>
        </is>
      </c>
      <c r="C54" t="inlineStr">
        <is>
          <t>Travel</t>
        </is>
      </c>
      <c r="D54" t="inlineStr">
        <is>
          <t>Expense</t>
        </is>
      </c>
      <c r="E54" t="n">
        <v>1660</v>
      </c>
    </row>
    <row r="55">
      <c r="A55" s="1" t="n">
        <v>45711</v>
      </c>
      <c r="B55" t="inlineStr">
        <is>
          <t>Feb</t>
        </is>
      </c>
      <c r="C55" t="inlineStr">
        <is>
          <t>Food</t>
        </is>
      </c>
      <c r="D55" t="inlineStr">
        <is>
          <t>Expense</t>
        </is>
      </c>
      <c r="E55" t="n">
        <v>1368</v>
      </c>
    </row>
    <row r="56">
      <c r="A56" s="1" t="n">
        <v>45712</v>
      </c>
      <c r="B56" t="inlineStr">
        <is>
          <t>Feb</t>
        </is>
      </c>
      <c r="C56" t="inlineStr">
        <is>
          <t>Shopping</t>
        </is>
      </c>
      <c r="D56" t="inlineStr">
        <is>
          <t>Expense</t>
        </is>
      </c>
      <c r="E56" t="n">
        <v>2725</v>
      </c>
    </row>
    <row r="57">
      <c r="A57" s="1" t="n">
        <v>45713</v>
      </c>
      <c r="B57" t="inlineStr">
        <is>
          <t>Feb</t>
        </is>
      </c>
      <c r="C57" t="inlineStr">
        <is>
          <t>Entertainment</t>
        </is>
      </c>
      <c r="D57" t="inlineStr">
        <is>
          <t>Expense</t>
        </is>
      </c>
      <c r="E57" t="n">
        <v>4010</v>
      </c>
    </row>
    <row r="58">
      <c r="A58" s="1" t="n">
        <v>45714</v>
      </c>
      <c r="B58" t="inlineStr">
        <is>
          <t>Feb</t>
        </is>
      </c>
      <c r="C58" t="inlineStr">
        <is>
          <t>Travel</t>
        </is>
      </c>
      <c r="D58" t="inlineStr">
        <is>
          <t>Expense</t>
        </is>
      </c>
      <c r="E58" t="n">
        <v>595</v>
      </c>
    </row>
    <row r="59">
      <c r="A59" s="1" t="n">
        <v>45715</v>
      </c>
      <c r="B59" t="inlineStr">
        <is>
          <t>Feb</t>
        </is>
      </c>
      <c r="C59" t="inlineStr">
        <is>
          <t>EMI</t>
        </is>
      </c>
      <c r="D59" t="inlineStr">
        <is>
          <t>Expense</t>
        </is>
      </c>
      <c r="E59" t="n">
        <v>4301</v>
      </c>
    </row>
    <row r="60">
      <c r="A60" s="1" t="n">
        <v>45716</v>
      </c>
      <c r="B60" t="inlineStr">
        <is>
          <t>Feb</t>
        </is>
      </c>
      <c r="C60" t="inlineStr">
        <is>
          <t>Food</t>
        </is>
      </c>
      <c r="D60" t="inlineStr">
        <is>
          <t>Expense</t>
        </is>
      </c>
      <c r="E60" t="n">
        <v>1069</v>
      </c>
    </row>
    <row r="61">
      <c r="A61" s="1" t="n">
        <v>45717</v>
      </c>
      <c r="B61" t="inlineStr">
        <is>
          <t>Mar</t>
        </is>
      </c>
      <c r="C61" t="inlineStr">
        <is>
          <t>Rent</t>
        </is>
      </c>
      <c r="D61" t="inlineStr">
        <is>
          <t>Expense</t>
        </is>
      </c>
      <c r="E61" t="n">
        <v>1700</v>
      </c>
    </row>
    <row r="62">
      <c r="A62" s="1" t="n">
        <v>45718</v>
      </c>
      <c r="B62" t="inlineStr">
        <is>
          <t>Mar</t>
        </is>
      </c>
      <c r="C62" t="inlineStr">
        <is>
          <t>Food</t>
        </is>
      </c>
      <c r="D62" t="inlineStr">
        <is>
          <t>Expense</t>
        </is>
      </c>
      <c r="E62" t="n">
        <v>1610</v>
      </c>
    </row>
    <row r="63">
      <c r="A63" s="1" t="n">
        <v>45719</v>
      </c>
      <c r="B63" t="inlineStr">
        <is>
          <t>Mar</t>
        </is>
      </c>
      <c r="C63" t="inlineStr">
        <is>
          <t>Salary</t>
        </is>
      </c>
      <c r="D63" t="inlineStr">
        <is>
          <t>Income</t>
        </is>
      </c>
      <c r="E63" t="n">
        <v>31593</v>
      </c>
    </row>
    <row r="64">
      <c r="A64" s="1" t="n">
        <v>45720</v>
      </c>
      <c r="B64" t="inlineStr">
        <is>
          <t>Mar</t>
        </is>
      </c>
      <c r="C64" t="inlineStr">
        <is>
          <t>Salary</t>
        </is>
      </c>
      <c r="D64" t="inlineStr">
        <is>
          <t>Income</t>
        </is>
      </c>
      <c r="E64" t="n">
        <v>46700</v>
      </c>
    </row>
    <row r="65">
      <c r="A65" s="1" t="n">
        <v>45721</v>
      </c>
      <c r="B65" t="inlineStr">
        <is>
          <t>Mar</t>
        </is>
      </c>
      <c r="C65" t="inlineStr">
        <is>
          <t>Salary</t>
        </is>
      </c>
      <c r="D65" t="inlineStr">
        <is>
          <t>Income</t>
        </is>
      </c>
      <c r="E65" t="n">
        <v>37929</v>
      </c>
    </row>
    <row r="66">
      <c r="A66" s="1" t="n">
        <v>45722</v>
      </c>
      <c r="B66" t="inlineStr">
        <is>
          <t>Mar</t>
        </is>
      </c>
      <c r="C66" t="inlineStr">
        <is>
          <t>Food</t>
        </is>
      </c>
      <c r="D66" t="inlineStr">
        <is>
          <t>Expense</t>
        </is>
      </c>
      <c r="E66" t="n">
        <v>1938</v>
      </c>
    </row>
    <row r="67">
      <c r="A67" s="1" t="n">
        <v>45723</v>
      </c>
      <c r="B67" t="inlineStr">
        <is>
          <t>Mar</t>
        </is>
      </c>
      <c r="C67" t="inlineStr">
        <is>
          <t>Salary</t>
        </is>
      </c>
      <c r="D67" t="inlineStr">
        <is>
          <t>Income</t>
        </is>
      </c>
      <c r="E67" t="n">
        <v>57749</v>
      </c>
    </row>
    <row r="68">
      <c r="A68" s="1" t="n">
        <v>45724</v>
      </c>
      <c r="B68" t="inlineStr">
        <is>
          <t>Mar</t>
        </is>
      </c>
      <c r="C68" t="inlineStr">
        <is>
          <t>Salary</t>
        </is>
      </c>
      <c r="D68" t="inlineStr">
        <is>
          <t>Income</t>
        </is>
      </c>
      <c r="E68" t="n">
        <v>34012</v>
      </c>
    </row>
    <row r="69">
      <c r="A69" s="1" t="n">
        <v>45725</v>
      </c>
      <c r="B69" t="inlineStr">
        <is>
          <t>Mar</t>
        </is>
      </c>
      <c r="C69" t="inlineStr">
        <is>
          <t>Food</t>
        </is>
      </c>
      <c r="D69" t="inlineStr">
        <is>
          <t>Expense</t>
        </is>
      </c>
      <c r="E69" t="n">
        <v>2294</v>
      </c>
    </row>
    <row r="70">
      <c r="A70" s="1" t="n">
        <v>45726</v>
      </c>
      <c r="B70" t="inlineStr">
        <is>
          <t>Mar</t>
        </is>
      </c>
      <c r="C70" t="inlineStr">
        <is>
          <t>Rent</t>
        </is>
      </c>
      <c r="D70" t="inlineStr">
        <is>
          <t>Expense</t>
        </is>
      </c>
      <c r="E70" t="n">
        <v>1503</v>
      </c>
    </row>
    <row r="71">
      <c r="A71" s="1" t="n">
        <v>45727</v>
      </c>
      <c r="B71" t="inlineStr">
        <is>
          <t>Mar</t>
        </is>
      </c>
      <c r="C71" t="inlineStr">
        <is>
          <t>EMI</t>
        </is>
      </c>
      <c r="D71" t="inlineStr">
        <is>
          <t>Expense</t>
        </is>
      </c>
      <c r="E71" t="n">
        <v>2705</v>
      </c>
    </row>
    <row r="72">
      <c r="A72" s="1" t="n">
        <v>45728</v>
      </c>
      <c r="B72" t="inlineStr">
        <is>
          <t>Mar</t>
        </is>
      </c>
      <c r="C72" t="inlineStr">
        <is>
          <t>EMI</t>
        </is>
      </c>
      <c r="D72" t="inlineStr">
        <is>
          <t>Expense</t>
        </is>
      </c>
      <c r="E72" t="n">
        <v>3878</v>
      </c>
    </row>
    <row r="73">
      <c r="A73" s="1" t="n">
        <v>45729</v>
      </c>
      <c r="B73" t="inlineStr">
        <is>
          <t>Mar</t>
        </is>
      </c>
      <c r="C73" t="inlineStr">
        <is>
          <t>Salary</t>
        </is>
      </c>
      <c r="D73" t="inlineStr">
        <is>
          <t>Income</t>
        </is>
      </c>
      <c r="E73" t="n">
        <v>41939</v>
      </c>
    </row>
    <row r="74">
      <c r="A74" s="1" t="n">
        <v>45730</v>
      </c>
      <c r="B74" t="inlineStr">
        <is>
          <t>Mar</t>
        </is>
      </c>
      <c r="C74" t="inlineStr">
        <is>
          <t>Travel</t>
        </is>
      </c>
      <c r="D74" t="inlineStr">
        <is>
          <t>Expense</t>
        </is>
      </c>
      <c r="E74" t="n">
        <v>4551</v>
      </c>
    </row>
    <row r="75">
      <c r="A75" s="1" t="n">
        <v>45731</v>
      </c>
      <c r="B75" t="inlineStr">
        <is>
          <t>Mar</t>
        </is>
      </c>
      <c r="C75" t="inlineStr">
        <is>
          <t>Entertainment</t>
        </is>
      </c>
      <c r="D75" t="inlineStr">
        <is>
          <t>Expense</t>
        </is>
      </c>
      <c r="E75" t="n">
        <v>1156</v>
      </c>
    </row>
    <row r="76">
      <c r="A76" s="1" t="n">
        <v>45732</v>
      </c>
      <c r="B76" t="inlineStr">
        <is>
          <t>Mar</t>
        </is>
      </c>
      <c r="C76" t="inlineStr">
        <is>
          <t>Salary</t>
        </is>
      </c>
      <c r="D76" t="inlineStr">
        <is>
          <t>Income</t>
        </is>
      </c>
      <c r="E76" t="n">
        <v>34694</v>
      </c>
    </row>
    <row r="77">
      <c r="A77" s="1" t="n">
        <v>45733</v>
      </c>
      <c r="B77" t="inlineStr">
        <is>
          <t>Mar</t>
        </is>
      </c>
      <c r="C77" t="inlineStr">
        <is>
          <t>Entertainment</t>
        </is>
      </c>
      <c r="D77" t="inlineStr">
        <is>
          <t>Expense</t>
        </is>
      </c>
      <c r="E77" t="n">
        <v>1454</v>
      </c>
    </row>
    <row r="78">
      <c r="A78" s="1" t="n">
        <v>45734</v>
      </c>
      <c r="B78" t="inlineStr">
        <is>
          <t>Mar</t>
        </is>
      </c>
      <c r="C78" t="inlineStr">
        <is>
          <t>Entertainment</t>
        </is>
      </c>
      <c r="D78" t="inlineStr">
        <is>
          <t>Expense</t>
        </is>
      </c>
      <c r="E78" t="n">
        <v>1224</v>
      </c>
    </row>
    <row r="79">
      <c r="A79" s="1" t="n">
        <v>45735</v>
      </c>
      <c r="B79" t="inlineStr">
        <is>
          <t>Mar</t>
        </is>
      </c>
      <c r="C79" t="inlineStr">
        <is>
          <t>Food</t>
        </is>
      </c>
      <c r="D79" t="inlineStr">
        <is>
          <t>Expense</t>
        </is>
      </c>
      <c r="E79" t="n">
        <v>485</v>
      </c>
    </row>
    <row r="80">
      <c r="A80" s="1" t="n">
        <v>45736</v>
      </c>
      <c r="B80" t="inlineStr">
        <is>
          <t>Mar</t>
        </is>
      </c>
      <c r="C80" t="inlineStr">
        <is>
          <t>Shopping</t>
        </is>
      </c>
      <c r="D80" t="inlineStr">
        <is>
          <t>Expense</t>
        </is>
      </c>
      <c r="E80" t="n">
        <v>4919</v>
      </c>
    </row>
    <row r="81">
      <c r="A81" s="1" t="n">
        <v>45737</v>
      </c>
      <c r="B81" t="inlineStr">
        <is>
          <t>Mar</t>
        </is>
      </c>
      <c r="C81" t="inlineStr">
        <is>
          <t>Travel</t>
        </is>
      </c>
      <c r="D81" t="inlineStr">
        <is>
          <t>Expense</t>
        </is>
      </c>
      <c r="E81" t="n">
        <v>3278</v>
      </c>
    </row>
    <row r="82">
      <c r="A82" s="1" t="n">
        <v>45738</v>
      </c>
      <c r="B82" t="inlineStr">
        <is>
          <t>Mar</t>
        </is>
      </c>
      <c r="C82" t="inlineStr">
        <is>
          <t>Travel</t>
        </is>
      </c>
      <c r="D82" t="inlineStr">
        <is>
          <t>Expense</t>
        </is>
      </c>
      <c r="E82" t="n">
        <v>3816</v>
      </c>
    </row>
    <row r="83">
      <c r="A83" s="1" t="n">
        <v>45739</v>
      </c>
      <c r="B83" t="inlineStr">
        <is>
          <t>Mar</t>
        </is>
      </c>
      <c r="C83" t="inlineStr">
        <is>
          <t>Travel</t>
        </is>
      </c>
      <c r="D83" t="inlineStr">
        <is>
          <t>Expense</t>
        </is>
      </c>
      <c r="E83" t="n">
        <v>3429</v>
      </c>
    </row>
    <row r="84">
      <c r="A84" s="1" t="n">
        <v>45740</v>
      </c>
      <c r="B84" t="inlineStr">
        <is>
          <t>Mar</t>
        </is>
      </c>
      <c r="C84" t="inlineStr">
        <is>
          <t>Shopping</t>
        </is>
      </c>
      <c r="D84" t="inlineStr">
        <is>
          <t>Expense</t>
        </is>
      </c>
      <c r="E84" t="n">
        <v>1719</v>
      </c>
    </row>
    <row r="85">
      <c r="A85" s="1" t="n">
        <v>45741</v>
      </c>
      <c r="B85" t="inlineStr">
        <is>
          <t>Mar</t>
        </is>
      </c>
      <c r="C85" t="inlineStr">
        <is>
          <t>Salary</t>
        </is>
      </c>
      <c r="D85" t="inlineStr">
        <is>
          <t>Income</t>
        </is>
      </c>
      <c r="E85" t="n">
        <v>35035</v>
      </c>
    </row>
    <row r="86">
      <c r="A86" s="1" t="n">
        <v>45742</v>
      </c>
      <c r="B86" t="inlineStr">
        <is>
          <t>Mar</t>
        </is>
      </c>
      <c r="C86" t="inlineStr">
        <is>
          <t>Travel</t>
        </is>
      </c>
      <c r="D86" t="inlineStr">
        <is>
          <t>Expense</t>
        </is>
      </c>
      <c r="E86" t="n">
        <v>3738</v>
      </c>
    </row>
    <row r="87">
      <c r="A87" s="1" t="n">
        <v>45743</v>
      </c>
      <c r="B87" t="inlineStr">
        <is>
          <t>Mar</t>
        </is>
      </c>
      <c r="C87" t="inlineStr">
        <is>
          <t>Entertainment</t>
        </is>
      </c>
      <c r="D87" t="inlineStr">
        <is>
          <t>Expense</t>
        </is>
      </c>
      <c r="E87" t="n">
        <v>2476</v>
      </c>
    </row>
    <row r="88">
      <c r="A88" s="1" t="n">
        <v>45744</v>
      </c>
      <c r="B88" t="inlineStr">
        <is>
          <t>Mar</t>
        </is>
      </c>
      <c r="C88" t="inlineStr">
        <is>
          <t>Entertainment</t>
        </is>
      </c>
      <c r="D88" t="inlineStr">
        <is>
          <t>Expense</t>
        </is>
      </c>
      <c r="E88" t="n">
        <v>2853</v>
      </c>
    </row>
    <row r="89">
      <c r="A89" s="1" t="n">
        <v>45745</v>
      </c>
      <c r="B89" t="inlineStr">
        <is>
          <t>Mar</t>
        </is>
      </c>
      <c r="C89" t="inlineStr">
        <is>
          <t>Salary</t>
        </is>
      </c>
      <c r="D89" t="inlineStr">
        <is>
          <t>Income</t>
        </is>
      </c>
      <c r="E89" t="n">
        <v>43262</v>
      </c>
    </row>
    <row r="90">
      <c r="A90" s="1" t="n">
        <v>45746</v>
      </c>
      <c r="B90" t="inlineStr">
        <is>
          <t>Mar</t>
        </is>
      </c>
      <c r="C90" t="inlineStr">
        <is>
          <t>Food</t>
        </is>
      </c>
      <c r="D90" t="inlineStr">
        <is>
          <t>Expense</t>
        </is>
      </c>
      <c r="E90" t="n">
        <v>665</v>
      </c>
    </row>
    <row r="91">
      <c r="A91" s="1" t="n">
        <v>45747</v>
      </c>
      <c r="B91" t="inlineStr">
        <is>
          <t>Mar</t>
        </is>
      </c>
      <c r="C91" t="inlineStr">
        <is>
          <t>Travel</t>
        </is>
      </c>
      <c r="D91" t="inlineStr">
        <is>
          <t>Expense</t>
        </is>
      </c>
      <c r="E91" t="n">
        <v>1887</v>
      </c>
    </row>
    <row r="92">
      <c r="A92" s="1" t="n">
        <v>45748</v>
      </c>
      <c r="B92" t="inlineStr">
        <is>
          <t>Apr</t>
        </is>
      </c>
      <c r="C92" t="inlineStr">
        <is>
          <t>Salary</t>
        </is>
      </c>
      <c r="D92" t="inlineStr">
        <is>
          <t>Income</t>
        </is>
      </c>
      <c r="E92" t="n">
        <v>56504</v>
      </c>
    </row>
    <row r="93">
      <c r="A93" s="1" t="n">
        <v>45749</v>
      </c>
      <c r="B93" t="inlineStr">
        <is>
          <t>Apr</t>
        </is>
      </c>
      <c r="C93" t="inlineStr">
        <is>
          <t>Entertainment</t>
        </is>
      </c>
      <c r="D93" t="inlineStr">
        <is>
          <t>Expense</t>
        </is>
      </c>
      <c r="E93" t="n">
        <v>1681</v>
      </c>
    </row>
    <row r="94">
      <c r="A94" s="1" t="n">
        <v>45750</v>
      </c>
      <c r="B94" t="inlineStr">
        <is>
          <t>Apr</t>
        </is>
      </c>
      <c r="C94" t="inlineStr">
        <is>
          <t>Salary</t>
        </is>
      </c>
      <c r="D94" t="inlineStr">
        <is>
          <t>Income</t>
        </is>
      </c>
      <c r="E94" t="n">
        <v>51472</v>
      </c>
    </row>
    <row r="95">
      <c r="A95" s="1" t="n">
        <v>45751</v>
      </c>
      <c r="B95" t="inlineStr">
        <is>
          <t>Apr</t>
        </is>
      </c>
      <c r="C95" t="inlineStr">
        <is>
          <t>Food</t>
        </is>
      </c>
      <c r="D95" t="inlineStr">
        <is>
          <t>Expense</t>
        </is>
      </c>
      <c r="E95" t="n">
        <v>377</v>
      </c>
    </row>
    <row r="96">
      <c r="A96" s="1" t="n">
        <v>45752</v>
      </c>
      <c r="B96" t="inlineStr">
        <is>
          <t>Apr</t>
        </is>
      </c>
      <c r="C96" t="inlineStr">
        <is>
          <t>Salary</t>
        </is>
      </c>
      <c r="D96" t="inlineStr">
        <is>
          <t>Income</t>
        </is>
      </c>
      <c r="E96" t="n">
        <v>30437</v>
      </c>
    </row>
    <row r="97">
      <c r="A97" s="1" t="n">
        <v>45753</v>
      </c>
      <c r="B97" t="inlineStr">
        <is>
          <t>Apr</t>
        </is>
      </c>
      <c r="C97" t="inlineStr">
        <is>
          <t>Rent</t>
        </is>
      </c>
      <c r="D97" t="inlineStr">
        <is>
          <t>Expense</t>
        </is>
      </c>
      <c r="E97" t="n">
        <v>4170</v>
      </c>
    </row>
    <row r="98">
      <c r="A98" s="1" t="n">
        <v>45754</v>
      </c>
      <c r="B98" t="inlineStr">
        <is>
          <t>Apr</t>
        </is>
      </c>
      <c r="C98" t="inlineStr">
        <is>
          <t>Entertainment</t>
        </is>
      </c>
      <c r="D98" t="inlineStr">
        <is>
          <t>Expense</t>
        </is>
      </c>
      <c r="E98" t="n">
        <v>3450</v>
      </c>
    </row>
    <row r="99">
      <c r="A99" s="1" t="n">
        <v>45755</v>
      </c>
      <c r="B99" t="inlineStr">
        <is>
          <t>Apr</t>
        </is>
      </c>
      <c r="C99" t="inlineStr">
        <is>
          <t>Travel</t>
        </is>
      </c>
      <c r="D99" t="inlineStr">
        <is>
          <t>Expense</t>
        </is>
      </c>
      <c r="E99" t="n">
        <v>3007</v>
      </c>
    </row>
    <row r="100">
      <c r="A100" s="1" t="n">
        <v>45756</v>
      </c>
      <c r="B100" t="inlineStr">
        <is>
          <t>Apr</t>
        </is>
      </c>
      <c r="C100" t="inlineStr">
        <is>
          <t>Salary</t>
        </is>
      </c>
      <c r="D100" t="inlineStr">
        <is>
          <t>Income</t>
        </is>
      </c>
      <c r="E100" t="n">
        <v>40236</v>
      </c>
    </row>
    <row r="101">
      <c r="A101" s="1" t="n">
        <v>45757</v>
      </c>
      <c r="B101" t="inlineStr">
        <is>
          <t>Apr</t>
        </is>
      </c>
      <c r="C101" t="inlineStr">
        <is>
          <t>EMI</t>
        </is>
      </c>
      <c r="D101" t="inlineStr">
        <is>
          <t>Expense</t>
        </is>
      </c>
      <c r="E101" t="n">
        <v>597</v>
      </c>
    </row>
    <row r="102">
      <c r="A102" s="1" t="n">
        <v>45758</v>
      </c>
      <c r="B102" t="inlineStr">
        <is>
          <t>Apr</t>
        </is>
      </c>
      <c r="C102" t="inlineStr">
        <is>
          <t>Shopping</t>
        </is>
      </c>
      <c r="D102" t="inlineStr">
        <is>
          <t>Expense</t>
        </is>
      </c>
      <c r="E102" t="n">
        <v>368</v>
      </c>
    </row>
    <row r="103">
      <c r="A103" s="1" t="n">
        <v>45759</v>
      </c>
      <c r="B103" t="inlineStr">
        <is>
          <t>Apr</t>
        </is>
      </c>
      <c r="C103" t="inlineStr">
        <is>
          <t>Travel</t>
        </is>
      </c>
      <c r="D103" t="inlineStr">
        <is>
          <t>Expense</t>
        </is>
      </c>
      <c r="E103" t="n">
        <v>3678</v>
      </c>
    </row>
    <row r="104">
      <c r="A104" s="1" t="n">
        <v>45760</v>
      </c>
      <c r="B104" t="inlineStr">
        <is>
          <t>Apr</t>
        </is>
      </c>
      <c r="C104" t="inlineStr">
        <is>
          <t>Entertainment</t>
        </is>
      </c>
      <c r="D104" t="inlineStr">
        <is>
          <t>Expense</t>
        </is>
      </c>
      <c r="E104" t="n">
        <v>3134</v>
      </c>
    </row>
    <row r="105">
      <c r="A105" s="1" t="n">
        <v>45761</v>
      </c>
      <c r="B105" t="inlineStr">
        <is>
          <t>Apr</t>
        </is>
      </c>
      <c r="C105" t="inlineStr">
        <is>
          <t>Entertainment</t>
        </is>
      </c>
      <c r="D105" t="inlineStr">
        <is>
          <t>Expense</t>
        </is>
      </c>
      <c r="E105" t="n">
        <v>4453</v>
      </c>
    </row>
    <row r="106">
      <c r="A106" s="1" t="n">
        <v>45762</v>
      </c>
      <c r="B106" t="inlineStr">
        <is>
          <t>Apr</t>
        </is>
      </c>
      <c r="C106" t="inlineStr">
        <is>
          <t>Salary</t>
        </is>
      </c>
      <c r="D106" t="inlineStr">
        <is>
          <t>Income</t>
        </is>
      </c>
      <c r="E106" t="n">
        <v>31284</v>
      </c>
    </row>
    <row r="107">
      <c r="A107" s="1" t="n">
        <v>45763</v>
      </c>
      <c r="B107" t="inlineStr">
        <is>
          <t>Apr</t>
        </is>
      </c>
      <c r="C107" t="inlineStr">
        <is>
          <t>Travel</t>
        </is>
      </c>
      <c r="D107" t="inlineStr">
        <is>
          <t>Expense</t>
        </is>
      </c>
      <c r="E107" t="n">
        <v>3443</v>
      </c>
    </row>
    <row r="108">
      <c r="A108" s="1" t="n">
        <v>45764</v>
      </c>
      <c r="B108" t="inlineStr">
        <is>
          <t>Apr</t>
        </is>
      </c>
      <c r="C108" t="inlineStr">
        <is>
          <t>Travel</t>
        </is>
      </c>
      <c r="D108" t="inlineStr">
        <is>
          <t>Expense</t>
        </is>
      </c>
      <c r="E108" t="n">
        <v>1886</v>
      </c>
    </row>
    <row r="109">
      <c r="A109" s="1" t="n">
        <v>45765</v>
      </c>
      <c r="B109" t="inlineStr">
        <is>
          <t>Apr</t>
        </is>
      </c>
      <c r="C109" t="inlineStr">
        <is>
          <t>EMI</t>
        </is>
      </c>
      <c r="D109" t="inlineStr">
        <is>
          <t>Expense</t>
        </is>
      </c>
      <c r="E109" t="n">
        <v>732</v>
      </c>
    </row>
    <row r="110">
      <c r="A110" s="1" t="n">
        <v>45766</v>
      </c>
      <c r="B110" t="inlineStr">
        <is>
          <t>Apr</t>
        </is>
      </c>
      <c r="C110" t="inlineStr">
        <is>
          <t>Salary</t>
        </is>
      </c>
      <c r="D110" t="inlineStr">
        <is>
          <t>Income</t>
        </is>
      </c>
      <c r="E110" t="n">
        <v>55339</v>
      </c>
    </row>
    <row r="111">
      <c r="A111" s="1" t="n">
        <v>45767</v>
      </c>
      <c r="B111" t="inlineStr">
        <is>
          <t>Apr</t>
        </is>
      </c>
      <c r="C111" t="inlineStr">
        <is>
          <t>Food</t>
        </is>
      </c>
      <c r="D111" t="inlineStr">
        <is>
          <t>Expense</t>
        </is>
      </c>
      <c r="E111" t="n">
        <v>3717</v>
      </c>
    </row>
    <row r="112">
      <c r="A112" s="1" t="n">
        <v>45768</v>
      </c>
      <c r="B112" t="inlineStr">
        <is>
          <t>Apr</t>
        </is>
      </c>
      <c r="C112" t="inlineStr">
        <is>
          <t>Salary</t>
        </is>
      </c>
      <c r="D112" t="inlineStr">
        <is>
          <t>Income</t>
        </is>
      </c>
      <c r="E112" t="n">
        <v>48441</v>
      </c>
    </row>
    <row r="113">
      <c r="A113" s="1" t="n">
        <v>45769</v>
      </c>
      <c r="B113" t="inlineStr">
        <is>
          <t>Apr</t>
        </is>
      </c>
      <c r="C113" t="inlineStr">
        <is>
          <t>Salary</t>
        </is>
      </c>
      <c r="D113" t="inlineStr">
        <is>
          <t>Income</t>
        </is>
      </c>
      <c r="E113" t="n">
        <v>32416</v>
      </c>
    </row>
    <row r="114">
      <c r="A114" s="1" t="n">
        <v>45770</v>
      </c>
      <c r="B114" t="inlineStr">
        <is>
          <t>Apr</t>
        </is>
      </c>
      <c r="C114" t="inlineStr">
        <is>
          <t>Salary</t>
        </is>
      </c>
      <c r="D114" t="inlineStr">
        <is>
          <t>Income</t>
        </is>
      </c>
      <c r="E114" t="n">
        <v>49837</v>
      </c>
    </row>
    <row r="115">
      <c r="A115" s="1" t="n">
        <v>45771</v>
      </c>
      <c r="B115" t="inlineStr">
        <is>
          <t>Apr</t>
        </is>
      </c>
      <c r="C115" t="inlineStr">
        <is>
          <t>Travel</t>
        </is>
      </c>
      <c r="D115" t="inlineStr">
        <is>
          <t>Expense</t>
        </is>
      </c>
      <c r="E115" t="n">
        <v>1565</v>
      </c>
    </row>
    <row r="116">
      <c r="A116" s="1" t="n">
        <v>45772</v>
      </c>
      <c r="B116" t="inlineStr">
        <is>
          <t>Apr</t>
        </is>
      </c>
      <c r="C116" t="inlineStr">
        <is>
          <t>Shopping</t>
        </is>
      </c>
      <c r="D116" t="inlineStr">
        <is>
          <t>Expense</t>
        </is>
      </c>
      <c r="E116" t="n">
        <v>3663</v>
      </c>
    </row>
    <row r="117">
      <c r="A117" s="1" t="n">
        <v>45773</v>
      </c>
      <c r="B117" t="inlineStr">
        <is>
          <t>Apr</t>
        </is>
      </c>
      <c r="C117" t="inlineStr">
        <is>
          <t>Salary</t>
        </is>
      </c>
      <c r="D117" t="inlineStr">
        <is>
          <t>Income</t>
        </is>
      </c>
      <c r="E117" t="n">
        <v>57038</v>
      </c>
    </row>
    <row r="118">
      <c r="A118" s="1" t="n">
        <v>45774</v>
      </c>
      <c r="B118" t="inlineStr">
        <is>
          <t>Apr</t>
        </is>
      </c>
      <c r="C118" t="inlineStr">
        <is>
          <t>Shopping</t>
        </is>
      </c>
      <c r="D118" t="inlineStr">
        <is>
          <t>Expense</t>
        </is>
      </c>
      <c r="E118" t="n">
        <v>676</v>
      </c>
    </row>
    <row r="119">
      <c r="A119" s="1" t="n">
        <v>45775</v>
      </c>
      <c r="B119" t="inlineStr">
        <is>
          <t>Apr</t>
        </is>
      </c>
      <c r="C119" t="inlineStr">
        <is>
          <t>Rent</t>
        </is>
      </c>
      <c r="D119" t="inlineStr">
        <is>
          <t>Expense</t>
        </is>
      </c>
      <c r="E119" t="n">
        <v>2735</v>
      </c>
    </row>
    <row r="120">
      <c r="A120" s="1" t="n">
        <v>45776</v>
      </c>
      <c r="B120" t="inlineStr">
        <is>
          <t>Apr</t>
        </is>
      </c>
      <c r="C120" t="inlineStr">
        <is>
          <t>Travel</t>
        </is>
      </c>
      <c r="D120" t="inlineStr">
        <is>
          <t>Expense</t>
        </is>
      </c>
      <c r="E120" t="n">
        <v>715</v>
      </c>
    </row>
    <row r="121">
      <c r="A121" s="1" t="n">
        <v>45777</v>
      </c>
      <c r="B121" t="inlineStr">
        <is>
          <t>Apr</t>
        </is>
      </c>
      <c r="C121" t="inlineStr">
        <is>
          <t>Salary</t>
        </is>
      </c>
      <c r="D121" t="inlineStr">
        <is>
          <t>Income</t>
        </is>
      </c>
      <c r="E121" t="n">
        <v>32718</v>
      </c>
    </row>
    <row r="122">
      <c r="A122" s="1" t="n">
        <v>45778</v>
      </c>
      <c r="B122" t="inlineStr">
        <is>
          <t>May</t>
        </is>
      </c>
      <c r="C122" t="inlineStr">
        <is>
          <t>Salary</t>
        </is>
      </c>
      <c r="D122" t="inlineStr">
        <is>
          <t>Income</t>
        </is>
      </c>
      <c r="E122" t="n">
        <v>44775</v>
      </c>
    </row>
    <row r="123">
      <c r="A123" s="1" t="n">
        <v>45779</v>
      </c>
      <c r="B123" t="inlineStr">
        <is>
          <t>May</t>
        </is>
      </c>
      <c r="C123" t="inlineStr">
        <is>
          <t>Entertainment</t>
        </is>
      </c>
      <c r="D123" t="inlineStr">
        <is>
          <t>Expense</t>
        </is>
      </c>
      <c r="E123" t="n">
        <v>2602</v>
      </c>
    </row>
    <row r="124">
      <c r="A124" s="1" t="n">
        <v>45780</v>
      </c>
      <c r="B124" t="inlineStr">
        <is>
          <t>May</t>
        </is>
      </c>
      <c r="C124" t="inlineStr">
        <is>
          <t>Food</t>
        </is>
      </c>
      <c r="D124" t="inlineStr">
        <is>
          <t>Expense</t>
        </is>
      </c>
      <c r="E124" t="n">
        <v>1391</v>
      </c>
    </row>
    <row r="125">
      <c r="A125" s="1" t="n">
        <v>45781</v>
      </c>
      <c r="B125" t="inlineStr">
        <is>
          <t>May</t>
        </is>
      </c>
      <c r="C125" t="inlineStr">
        <is>
          <t>Food</t>
        </is>
      </c>
      <c r="D125" t="inlineStr">
        <is>
          <t>Expense</t>
        </is>
      </c>
      <c r="E125" t="n">
        <v>3226</v>
      </c>
    </row>
    <row r="126">
      <c r="A126" s="1" t="n">
        <v>45782</v>
      </c>
      <c r="B126" t="inlineStr">
        <is>
          <t>May</t>
        </is>
      </c>
      <c r="C126" t="inlineStr">
        <is>
          <t>Salary</t>
        </is>
      </c>
      <c r="D126" t="inlineStr">
        <is>
          <t>Income</t>
        </is>
      </c>
      <c r="E126" t="n">
        <v>27687</v>
      </c>
    </row>
    <row r="127">
      <c r="A127" s="1" t="n">
        <v>45783</v>
      </c>
      <c r="B127" t="inlineStr">
        <is>
          <t>May</t>
        </is>
      </c>
      <c r="C127" t="inlineStr">
        <is>
          <t>Food</t>
        </is>
      </c>
      <c r="D127" t="inlineStr">
        <is>
          <t>Expense</t>
        </is>
      </c>
      <c r="E127" t="n">
        <v>499</v>
      </c>
    </row>
    <row r="128">
      <c r="A128" s="1" t="n">
        <v>45784</v>
      </c>
      <c r="B128" t="inlineStr">
        <is>
          <t>May</t>
        </is>
      </c>
      <c r="C128" t="inlineStr">
        <is>
          <t>Shopping</t>
        </is>
      </c>
      <c r="D128" t="inlineStr">
        <is>
          <t>Expense</t>
        </is>
      </c>
      <c r="E128" t="n">
        <v>3754</v>
      </c>
    </row>
    <row r="129">
      <c r="A129" s="1" t="n">
        <v>45785</v>
      </c>
      <c r="B129" t="inlineStr">
        <is>
          <t>May</t>
        </is>
      </c>
      <c r="C129" t="inlineStr">
        <is>
          <t>Entertainment</t>
        </is>
      </c>
      <c r="D129" t="inlineStr">
        <is>
          <t>Expense</t>
        </is>
      </c>
      <c r="E129" t="n">
        <v>4569</v>
      </c>
    </row>
    <row r="130">
      <c r="A130" s="1" t="n">
        <v>45786</v>
      </c>
      <c r="B130" t="inlineStr">
        <is>
          <t>May</t>
        </is>
      </c>
      <c r="C130" t="inlineStr">
        <is>
          <t>EMI</t>
        </is>
      </c>
      <c r="D130" t="inlineStr">
        <is>
          <t>Expense</t>
        </is>
      </c>
      <c r="E130" t="n">
        <v>4512</v>
      </c>
    </row>
    <row r="131">
      <c r="A131" s="1" t="n">
        <v>45787</v>
      </c>
      <c r="B131" t="inlineStr">
        <is>
          <t>May</t>
        </is>
      </c>
      <c r="C131" t="inlineStr">
        <is>
          <t>Entertainment</t>
        </is>
      </c>
      <c r="D131" t="inlineStr">
        <is>
          <t>Expense</t>
        </is>
      </c>
      <c r="E131" t="n">
        <v>3779</v>
      </c>
    </row>
    <row r="132">
      <c r="A132" s="1" t="n">
        <v>45788</v>
      </c>
      <c r="B132" t="inlineStr">
        <is>
          <t>May</t>
        </is>
      </c>
      <c r="C132" t="inlineStr">
        <is>
          <t>Salary</t>
        </is>
      </c>
      <c r="D132" t="inlineStr">
        <is>
          <t>Income</t>
        </is>
      </c>
      <c r="E132" t="n">
        <v>30300</v>
      </c>
    </row>
    <row r="133">
      <c r="A133" s="1" t="n">
        <v>45789</v>
      </c>
      <c r="B133" t="inlineStr">
        <is>
          <t>May</t>
        </is>
      </c>
      <c r="C133" t="inlineStr">
        <is>
          <t>Salary</t>
        </is>
      </c>
      <c r="D133" t="inlineStr">
        <is>
          <t>Income</t>
        </is>
      </c>
      <c r="E133" t="n">
        <v>23420</v>
      </c>
    </row>
    <row r="134">
      <c r="A134" s="1" t="n">
        <v>45790</v>
      </c>
      <c r="B134" t="inlineStr">
        <is>
          <t>May</t>
        </is>
      </c>
      <c r="C134" t="inlineStr">
        <is>
          <t>Entertainment</t>
        </is>
      </c>
      <c r="D134" t="inlineStr">
        <is>
          <t>Expense</t>
        </is>
      </c>
      <c r="E134" t="n">
        <v>4323</v>
      </c>
    </row>
    <row r="135">
      <c r="A135" s="1" t="n">
        <v>45791</v>
      </c>
      <c r="B135" t="inlineStr">
        <is>
          <t>May</t>
        </is>
      </c>
      <c r="C135" t="inlineStr">
        <is>
          <t>Salary</t>
        </is>
      </c>
      <c r="D135" t="inlineStr">
        <is>
          <t>Income</t>
        </is>
      </c>
      <c r="E135" t="n">
        <v>49888</v>
      </c>
    </row>
    <row r="136">
      <c r="A136" s="1" t="n">
        <v>45792</v>
      </c>
      <c r="B136" t="inlineStr">
        <is>
          <t>May</t>
        </is>
      </c>
      <c r="C136" t="inlineStr">
        <is>
          <t>Salary</t>
        </is>
      </c>
      <c r="D136" t="inlineStr">
        <is>
          <t>Income</t>
        </is>
      </c>
      <c r="E136" t="n">
        <v>39595</v>
      </c>
    </row>
    <row r="137">
      <c r="A137" s="1" t="n">
        <v>45793</v>
      </c>
      <c r="B137" t="inlineStr">
        <is>
          <t>May</t>
        </is>
      </c>
      <c r="C137" t="inlineStr">
        <is>
          <t>Rent</t>
        </is>
      </c>
      <c r="D137" t="inlineStr">
        <is>
          <t>Expense</t>
        </is>
      </c>
      <c r="E137" t="n">
        <v>1055</v>
      </c>
    </row>
    <row r="138">
      <c r="A138" s="1" t="n">
        <v>45794</v>
      </c>
      <c r="B138" t="inlineStr">
        <is>
          <t>May</t>
        </is>
      </c>
      <c r="C138" t="inlineStr">
        <is>
          <t>Travel</t>
        </is>
      </c>
      <c r="D138" t="inlineStr">
        <is>
          <t>Expense</t>
        </is>
      </c>
      <c r="E138" t="n">
        <v>2286</v>
      </c>
    </row>
    <row r="139">
      <c r="A139" s="1" t="n">
        <v>45795</v>
      </c>
      <c r="B139" t="inlineStr">
        <is>
          <t>May</t>
        </is>
      </c>
      <c r="C139" t="inlineStr">
        <is>
          <t>Salary</t>
        </is>
      </c>
      <c r="D139" t="inlineStr">
        <is>
          <t>Income</t>
        </is>
      </c>
      <c r="E139" t="n">
        <v>31038</v>
      </c>
    </row>
    <row r="140">
      <c r="A140" s="1" t="n">
        <v>45796</v>
      </c>
      <c r="B140" t="inlineStr">
        <is>
          <t>May</t>
        </is>
      </c>
      <c r="C140" t="inlineStr">
        <is>
          <t>EMI</t>
        </is>
      </c>
      <c r="D140" t="inlineStr">
        <is>
          <t>Expense</t>
        </is>
      </c>
      <c r="E140" t="n">
        <v>2473</v>
      </c>
    </row>
    <row r="141">
      <c r="A141" s="1" t="n">
        <v>45797</v>
      </c>
      <c r="B141" t="inlineStr">
        <is>
          <t>May</t>
        </is>
      </c>
      <c r="C141" t="inlineStr">
        <is>
          <t>Salary</t>
        </is>
      </c>
      <c r="D141" t="inlineStr">
        <is>
          <t>Income</t>
        </is>
      </c>
      <c r="E141" t="n">
        <v>21909</v>
      </c>
    </row>
    <row r="142">
      <c r="A142" s="1" t="n">
        <v>45798</v>
      </c>
      <c r="B142" t="inlineStr">
        <is>
          <t>May</t>
        </is>
      </c>
      <c r="C142" t="inlineStr">
        <is>
          <t>Rent</t>
        </is>
      </c>
      <c r="D142" t="inlineStr">
        <is>
          <t>Expense</t>
        </is>
      </c>
      <c r="E142" t="n">
        <v>4814</v>
      </c>
    </row>
    <row r="143">
      <c r="A143" s="1" t="n">
        <v>45799</v>
      </c>
      <c r="B143" t="inlineStr">
        <is>
          <t>May</t>
        </is>
      </c>
      <c r="C143" t="inlineStr">
        <is>
          <t>Rent</t>
        </is>
      </c>
      <c r="D143" t="inlineStr">
        <is>
          <t>Expense</t>
        </is>
      </c>
      <c r="E143" t="n">
        <v>1110</v>
      </c>
    </row>
    <row r="144">
      <c r="A144" s="1" t="n">
        <v>45800</v>
      </c>
      <c r="B144" t="inlineStr">
        <is>
          <t>May</t>
        </is>
      </c>
      <c r="C144" t="inlineStr">
        <is>
          <t>Entertainment</t>
        </is>
      </c>
      <c r="D144" t="inlineStr">
        <is>
          <t>Expense</t>
        </is>
      </c>
      <c r="E144" t="n">
        <v>2687</v>
      </c>
    </row>
    <row r="145">
      <c r="A145" s="1" t="n">
        <v>45801</v>
      </c>
      <c r="B145" t="inlineStr">
        <is>
          <t>May</t>
        </is>
      </c>
      <c r="C145" t="inlineStr">
        <is>
          <t>Rent</t>
        </is>
      </c>
      <c r="D145" t="inlineStr">
        <is>
          <t>Expense</t>
        </is>
      </c>
      <c r="E145" t="n">
        <v>477</v>
      </c>
    </row>
    <row r="146">
      <c r="A146" s="1" t="n">
        <v>45802</v>
      </c>
      <c r="B146" t="inlineStr">
        <is>
          <t>May</t>
        </is>
      </c>
      <c r="C146" t="inlineStr">
        <is>
          <t>EMI</t>
        </is>
      </c>
      <c r="D146" t="inlineStr">
        <is>
          <t>Expense</t>
        </is>
      </c>
      <c r="E146" t="n">
        <v>3531</v>
      </c>
    </row>
    <row r="147">
      <c r="A147" s="1" t="n">
        <v>45803</v>
      </c>
      <c r="B147" t="inlineStr">
        <is>
          <t>May</t>
        </is>
      </c>
      <c r="C147" t="inlineStr">
        <is>
          <t>Salary</t>
        </is>
      </c>
      <c r="D147" t="inlineStr">
        <is>
          <t>Income</t>
        </is>
      </c>
      <c r="E147" t="n">
        <v>26438</v>
      </c>
    </row>
    <row r="148">
      <c r="A148" s="1" t="n">
        <v>45804</v>
      </c>
      <c r="B148" t="inlineStr">
        <is>
          <t>May</t>
        </is>
      </c>
      <c r="C148" t="inlineStr">
        <is>
          <t>Shopping</t>
        </is>
      </c>
      <c r="D148" t="inlineStr">
        <is>
          <t>Expense</t>
        </is>
      </c>
      <c r="E148" t="n">
        <v>2724</v>
      </c>
    </row>
    <row r="149">
      <c r="A149" s="1" t="n">
        <v>45805</v>
      </c>
      <c r="B149" t="inlineStr">
        <is>
          <t>May</t>
        </is>
      </c>
      <c r="C149" t="inlineStr">
        <is>
          <t>Shopping</t>
        </is>
      </c>
      <c r="D149" t="inlineStr">
        <is>
          <t>Expense</t>
        </is>
      </c>
      <c r="E149" t="n">
        <v>2849</v>
      </c>
    </row>
    <row r="150">
      <c r="A150" s="1" t="n">
        <v>45806</v>
      </c>
      <c r="B150" t="inlineStr">
        <is>
          <t>May</t>
        </is>
      </c>
      <c r="C150" t="inlineStr">
        <is>
          <t>EMI</t>
        </is>
      </c>
      <c r="D150" t="inlineStr">
        <is>
          <t>Expense</t>
        </is>
      </c>
      <c r="E150" t="n">
        <v>4813</v>
      </c>
    </row>
    <row r="151">
      <c r="A151" s="1" t="n">
        <v>45807</v>
      </c>
      <c r="B151" t="inlineStr">
        <is>
          <t>May</t>
        </is>
      </c>
      <c r="C151" t="inlineStr">
        <is>
          <t>Rent</t>
        </is>
      </c>
      <c r="D151" t="inlineStr">
        <is>
          <t>Expense</t>
        </is>
      </c>
      <c r="E151" t="n">
        <v>1929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Income</t>
        </is>
      </c>
      <c r="B1" s="2">
        <f>SUMIF('Raw Data'!D:D,"Income",'Raw Data'!E:E)</f>
        <v/>
      </c>
    </row>
    <row r="2">
      <c r="A2" t="inlineStr">
        <is>
          <t>Total Expense</t>
        </is>
      </c>
      <c r="B2" s="3">
        <f>SUMIF('Raw Data'!D:D,"Expense",'Raw Data'!E:E)</f>
        <v/>
      </c>
    </row>
    <row r="3">
      <c r="A3" t="inlineStr">
        <is>
          <t>Savings</t>
        </is>
      </c>
      <c r="B3" s="2">
        <f>B1-B2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Expense</t>
        </is>
      </c>
    </row>
    <row r="2">
      <c r="A2" t="inlineStr">
        <is>
          <t>Food</t>
        </is>
      </c>
      <c r="B2">
        <f>SUMIF('Raw Data'!C:C,"Food",'Raw Data'!E:E)</f>
        <v/>
      </c>
    </row>
    <row r="3">
      <c r="A3" t="inlineStr">
        <is>
          <t>Rent</t>
        </is>
      </c>
      <c r="B3">
        <f>SUMIF('Raw Data'!C:C,"Rent",'Raw Data'!E:E)</f>
        <v/>
      </c>
    </row>
    <row r="4">
      <c r="A4" t="inlineStr">
        <is>
          <t>Travel</t>
        </is>
      </c>
      <c r="B4">
        <f>SUMIF('Raw Data'!C:C,"Travel",'Raw Data'!E:E)</f>
        <v/>
      </c>
    </row>
    <row r="5">
      <c r="A5" t="inlineStr">
        <is>
          <t>Shopping</t>
        </is>
      </c>
      <c r="B5">
        <f>SUMIF('Raw Data'!C:C,"Shopping",'Raw Data'!E:E)</f>
        <v/>
      </c>
    </row>
    <row r="6">
      <c r="A6" t="inlineStr">
        <is>
          <t>EMI</t>
        </is>
      </c>
      <c r="B6">
        <f>SUMIF('Raw Data'!C:C,"EMI",'Raw Data'!E:E)</f>
        <v/>
      </c>
    </row>
    <row r="7">
      <c r="A7" t="inlineStr">
        <is>
          <t>Entertainment</t>
        </is>
      </c>
      <c r="B7">
        <f>SUMIF('Raw Data'!C:C,"Entertainment",'Raw Data'!E:E)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PERSONAL FINANCE DASHBOARD</t>
        </is>
      </c>
    </row>
    <row r="3">
      <c r="A3" t="inlineStr">
        <is>
          <t>Income</t>
        </is>
      </c>
      <c r="B3">
        <f>KPI!B1</f>
        <v/>
      </c>
    </row>
    <row r="4">
      <c r="A4" t="inlineStr">
        <is>
          <t>Expense</t>
        </is>
      </c>
      <c r="B4">
        <f>KPI!B2</f>
        <v/>
      </c>
    </row>
    <row r="5">
      <c r="A5" t="inlineStr">
        <is>
          <t>Savings</t>
        </is>
      </c>
      <c r="B5">
        <f>KPI!B3</f>
        <v/>
      </c>
    </row>
  </sheetData>
  <mergeCells count="1">
    <mergeCell ref="A1:E1"/>
  </mergeCells>
  <conditionalFormatting sqref="B4">
    <cfRule type="cellIs" priority="1" operator="greaterThan" dxfId="0">
      <formula>40000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2026-04-14T08:19:01Z</dcterms:created>
  <dcterms:modified xmlns:dcterms="http://purl.org/dc/terms/" xmlns:xsi="http://www.w3.org/2001/XMLSchema-instance" xsi:type="dcterms:W3CDTF">2026-04-14T08:19:01Z</dcterms:modified>
</cp:coreProperties>
</file>